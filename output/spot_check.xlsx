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 Check" sheetId="1" state="visible" r:id="rId1"/>
  </sheets>
  <definedNames>
    <definedName name="_xlnm._FilterDatabase" localSheetId="0" hidden="1">'Spot Check'!$A$1:$N$4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8" customWidth="1" min="10" max="10"/>
    <col hidden="1" width="18" customWidth="1" min="11" max="11"/>
    <col width="18" customWidth="1" min="12" max="12"/>
    <col width="18" customWidth="1" min="13" max="13"/>
    <col width="12" customWidth="1" min="14" max="14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Net Profit</t>
        </is>
      </c>
      <c r="E1" s="1" t="inlineStr">
        <is>
          <t>Equity Capital</t>
        </is>
      </c>
      <c r="F1" s="1" t="inlineStr">
        <is>
          <t>Reserves</t>
        </is>
      </c>
      <c r="G1" s="1" t="inlineStr">
        <is>
          <t>Database ROE</t>
        </is>
      </c>
      <c r="H1" s="1" t="inlineStr">
        <is>
          <t>Manual ROE</t>
        </is>
      </c>
      <c r="I1" s="1" t="inlineStr">
        <is>
          <t>Difference (%)</t>
        </is>
      </c>
      <c r="J1" s="1" t="inlineStr">
        <is>
          <t>Database Revenue CAGR</t>
        </is>
      </c>
      <c r="K1" s="1" t="inlineStr">
        <is>
          <t>Historical Sales (5Y)</t>
        </is>
      </c>
      <c r="L1" s="1" t="inlineStr">
        <is>
          <t>Manual Revenue CAGR</t>
        </is>
      </c>
      <c r="M1" s="1" t="inlineStr">
        <is>
          <t>Difference (%)</t>
        </is>
      </c>
      <c r="N1" s="1" t="inlineStr">
        <is>
          <t>Status</t>
        </is>
      </c>
    </row>
    <row r="2">
      <c r="A2" s="2" t="inlineStr">
        <is>
          <t>ABB</t>
        </is>
      </c>
      <c r="B2" s="2" t="inlineStr">
        <is>
          <t>Mar 2024</t>
        </is>
      </c>
      <c r="C2" s="3" t="n">
        <v>5849</v>
      </c>
      <c r="D2" s="3" t="n">
        <v>1201</v>
      </c>
      <c r="E2" s="3" t="n">
        <v>21</v>
      </c>
      <c r="F2" s="3" t="n">
        <v>3678</v>
      </c>
      <c r="G2" s="3" t="n">
        <v>32.47</v>
      </c>
      <c r="H2" s="3">
        <f>IF(OR(E2+F2=0,D2=""),"",ROUND(D2/(E2+F2)*100,2))</f>
        <v/>
      </c>
      <c r="I2" s="3">
        <f>IF(OR(G2="",H2=""),"",ABS(G2-H2))</f>
        <v/>
      </c>
      <c r="J2" s="3" t="n">
        <v>9.720000000000001</v>
      </c>
      <c r="K2" s="3" t="n">
        <v>3679</v>
      </c>
      <c r="L2" s="3">
        <f>IF(OR(C2&lt;=0,K2&lt;=0),"",ROUND(((C2/K2)^(1/5)-1)*100,2))</f>
        <v/>
      </c>
      <c r="M2" s="3">
        <f>IF(OR(J2="",L2=""),"",ABS(J2-L2))</f>
        <v/>
      </c>
      <c r="N2" s="4" t="inlineStr">
        <is>
          <t>PASS</t>
        </is>
      </c>
    </row>
    <row r="3">
      <c r="A3" s="2" t="inlineStr">
        <is>
          <t>TCS</t>
        </is>
      </c>
      <c r="B3" s="2" t="inlineStr">
        <is>
          <t>Mar 2024</t>
        </is>
      </c>
      <c r="C3" s="3" t="n">
        <v>240893</v>
      </c>
      <c r="D3" s="3" t="n">
        <v>46099</v>
      </c>
      <c r="E3" s="3" t="n">
        <v>362</v>
      </c>
      <c r="F3" s="3" t="n">
        <v>90127</v>
      </c>
      <c r="G3" s="3" t="n">
        <v>50.94</v>
      </c>
      <c r="H3" s="3">
        <f>IF(OR(E3+F3=0,D3=""),"",ROUND(D3/(E3+F3)*100,2))</f>
        <v/>
      </c>
      <c r="I3" s="3">
        <f>IF(OR(G3="",H3=""),"",ABS(G3-H3))</f>
        <v/>
      </c>
      <c r="J3" s="3" t="n">
        <v>10.46</v>
      </c>
      <c r="K3" s="3" t="n">
        <v>146463</v>
      </c>
      <c r="L3" s="3">
        <f>IF(OR(C3&lt;=0,K3&lt;=0),"",ROUND(((C3/K3)^(1/5)-1)*100,2))</f>
        <v/>
      </c>
      <c r="M3" s="3">
        <f>IF(OR(J3="",L3=""),"",ABS(J3-L3))</f>
        <v/>
      </c>
      <c r="N3" s="4" t="inlineStr">
        <is>
          <t>PASS</t>
        </is>
      </c>
    </row>
    <row r="4">
      <c r="A4" s="2" t="inlineStr">
        <is>
          <t>RELIANCE</t>
        </is>
      </c>
      <c r="B4" s="2" t="inlineStr">
        <is>
          <t>Mar 2024</t>
        </is>
      </c>
      <c r="C4" s="3" t="n">
        <v>899041</v>
      </c>
      <c r="D4" s="3" t="n">
        <v>79020</v>
      </c>
      <c r="E4" s="3" t="n">
        <v>6766</v>
      </c>
      <c r="F4" s="3" t="n">
        <v>786715</v>
      </c>
      <c r="G4" s="3" t="n">
        <v>9.960000000000001</v>
      </c>
      <c r="H4" s="3">
        <f>IF(OR(E4+F4=0,D4=""),"",ROUND(D4/(E4+F4)*100,2))</f>
        <v/>
      </c>
      <c r="I4" s="3">
        <f>IF(OR(G4="",H4=""),"",ABS(G4-H4))</f>
        <v/>
      </c>
      <c r="J4" s="3" t="n">
        <v>9.609999999999999</v>
      </c>
      <c r="K4" s="3" t="n">
        <v>568337</v>
      </c>
      <c r="L4" s="3">
        <f>IF(OR(C4&lt;=0,K4&lt;=0),"",ROUND(((C4/K4)^(1/5)-1)*100,2))</f>
        <v/>
      </c>
      <c r="M4" s="3">
        <f>IF(OR(J4="",L4=""),"",ABS(J4-L4))</f>
        <v/>
      </c>
      <c r="N4" s="4" t="inlineStr">
        <is>
          <t>PASS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2026-07-02T13:17:13Z</dcterms:created>
  <dcterms:modified xsi:type="dcterms:W3CDTF">2026-07-02T13:17:13Z</dcterms:modified>
</cp:coreProperties>
</file>